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arnings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;($#,##0.00);&quot;-&quot;"/>
    <numFmt numFmtId="165" formatCode="$0.00;($0.00);&quot;-&quot;"/>
    <numFmt numFmtId="166" formatCode="$#,##0.00"/>
    <numFmt numFmtId="167" formatCode="$0.0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i val="1"/>
      <color rgb="006B7280"/>
      <sz val="9"/>
    </font>
    <font>
      <name val="Calibri"/>
      <b val="1"/>
      <color rgb="00FFFFFF"/>
      <sz val="11"/>
    </font>
    <font>
      <name val="Calibri"/>
      <b val="1"/>
      <color rgb="001F2A44"/>
      <sz val="10"/>
    </font>
    <font>
      <name val="Calibri"/>
      <color rgb="0015417E"/>
      <sz val="10"/>
    </font>
    <font>
      <name val="Calibri"/>
      <b val="1"/>
      <color rgb="00FFFFFF"/>
      <sz val="13"/>
    </font>
    <font>
      <name val="Calibri"/>
      <b val="1"/>
      <color rgb="001F2A44"/>
      <sz val="11"/>
    </font>
    <font>
      <name val="Calibri"/>
      <b val="1"/>
      <color rgb="001E5B32"/>
      <sz val="13"/>
    </font>
    <font>
      <name val="Calibri"/>
      <b val="1"/>
      <color rgb="001E5B32"/>
      <sz val="11"/>
    </font>
  </fonts>
  <fills count="9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2E5A88"/>
      </patternFill>
    </fill>
    <fill>
      <patternFill patternType="solid">
        <fgColor rgb="00F4F6F8"/>
      </patternFill>
    </fill>
    <fill>
      <patternFill patternType="solid">
        <fgColor rgb="00EAF2FB"/>
      </patternFill>
    </fill>
    <fill>
      <patternFill patternType="solid">
        <fgColor rgb="00FFFFFF"/>
      </patternFill>
    </fill>
    <fill>
      <patternFill patternType="solid">
        <fgColor rgb="00EDEFF2"/>
      </patternFill>
    </fill>
    <fill>
      <patternFill patternType="solid">
        <fgColor rgb="00E3F0E6"/>
      </patternFill>
    </fill>
  </fills>
  <borders count="2">
    <border>
      <left/>
      <right/>
      <top/>
      <bottom/>
      <diagonal/>
    </border>
    <border>
      <left style="thin">
        <color rgb="00D9DEE4"/>
      </left>
      <right style="thin">
        <color rgb="00D9DEE4"/>
      </right>
      <top style="thin">
        <color rgb="00D9DEE4"/>
      </top>
      <bottom style="thin">
        <color rgb="00D9DEE4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indent="1"/>
    </xf>
    <xf numFmtId="3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indent="1"/>
    </xf>
    <xf numFmtId="165" fontId="5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7" borderId="1" applyAlignment="1" pivotButton="0" quotePrefix="0" xfId="0">
      <alignment horizontal="right" vertical="center" indent="1"/>
    </xf>
    <xf numFmtId="0" fontId="0" fillId="7" borderId="1" pivotButton="0" quotePrefix="0" xfId="0"/>
    <xf numFmtId="3" fontId="8" fillId="6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right" vertical="center" indent="1"/>
    </xf>
    <xf numFmtId="0" fontId="0" fillId="8" borderId="1" pivotButton="0" quotePrefix="0" xfId="0"/>
    <xf numFmtId="166" fontId="9" fillId="8" borderId="1" applyAlignment="1" pivotButton="0" quotePrefix="0" xfId="0">
      <alignment horizontal="center" vertical="center"/>
    </xf>
    <xf numFmtId="167" fontId="8" fillId="6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3" customWidth="1" min="3" max="3"/>
    <col width="15" customWidth="1" min="4" max="4"/>
    <col width="15" customWidth="1" min="5" max="5"/>
    <col width="13" customWidth="1" min="6" max="6"/>
  </cols>
  <sheetData>
    <row r="1" ht="36" customHeight="1">
      <c r="A1" s="1" t="inlineStr">
        <is>
          <t>YouTube Earnings Tracker</t>
        </is>
      </c>
    </row>
    <row r="2" ht="20" customHeight="1">
      <c r="A2" s="2" t="inlineStr">
        <is>
          <t>Reporting Period: June 2026 – March 2027</t>
        </is>
      </c>
    </row>
    <row r="3" ht="8" customHeight="1"/>
    <row r="4" ht="16" customHeight="1">
      <c r="A4" s="3" t="inlineStr">
        <is>
          <t>Legend:  Pale blue cells = enter your monthly numbers   |   Blue text = your input   |   Navy text = auto-calculated formula</t>
        </is>
      </c>
    </row>
    <row r="5" ht="6" customHeight="1"/>
    <row r="6" ht="30" customHeight="1">
      <c r="A6" s="4" t="inlineStr">
        <is>
          <t>Month</t>
        </is>
      </c>
      <c r="B6" s="4" t="inlineStr">
        <is>
          <t>Videos Published</t>
        </is>
      </c>
      <c r="C6" s="4" t="inlineStr">
        <is>
          <t>Views</t>
        </is>
      </c>
      <c r="D6" s="4" t="inlineStr">
        <is>
          <t>Engaged Views</t>
        </is>
      </c>
      <c r="E6" s="4" t="inlineStr">
        <is>
          <t>Earnings ($)</t>
        </is>
      </c>
      <c r="F6" s="4" t="inlineStr">
        <is>
          <t>RPM ($)</t>
        </is>
      </c>
    </row>
    <row r="7">
      <c r="A7" s="5" t="inlineStr">
        <is>
          <t>June 2026</t>
        </is>
      </c>
      <c r="B7" s="6" t="n">
        <v>8</v>
      </c>
      <c r="C7" s="6" t="n">
        <v>60000</v>
      </c>
      <c r="D7" s="6" t="n">
        <v>50000</v>
      </c>
      <c r="E7" s="7" t="n">
        <v>200</v>
      </c>
      <c r="F7" s="8">
        <f>IFERROR(E7/D7*1000,0)</f>
        <v>4</v>
      </c>
    </row>
    <row r="8">
      <c r="A8" s="9" t="inlineStr">
        <is>
          <t>July 2026</t>
        </is>
      </c>
      <c r="B8" s="6" t="n">
        <v>10</v>
      </c>
      <c r="C8" s="6" t="n">
        <v>95000</v>
      </c>
      <c r="D8" s="6" t="n">
        <v>80000</v>
      </c>
      <c r="E8" s="7" t="n">
        <v>400</v>
      </c>
      <c r="F8" s="10">
        <f>IFERROR(E8/D8*1000,0)</f>
        <v>5</v>
      </c>
    </row>
    <row r="9">
      <c r="A9" s="5" t="inlineStr">
        <is>
          <t>August 2026</t>
        </is>
      </c>
      <c r="B9" s="6" t="n"/>
      <c r="C9" s="6" t="n"/>
      <c r="D9" s="6" t="n"/>
      <c r="E9" s="7" t="n"/>
      <c r="F9" s="8">
        <f>IFERROR(E9/D9*1000,0)</f>
        <v>0</v>
      </c>
    </row>
    <row r="10">
      <c r="A10" s="9" t="inlineStr">
        <is>
          <t>September 2026</t>
        </is>
      </c>
      <c r="B10" s="6" t="n"/>
      <c r="C10" s="6" t="n"/>
      <c r="D10" s="6" t="n"/>
      <c r="E10" s="7" t="n"/>
      <c r="F10" s="10">
        <f>IFERROR(E10/D10*1000,0)</f>
        <v>0</v>
      </c>
    </row>
    <row r="11">
      <c r="A11" s="5" t="inlineStr">
        <is>
          <t>October 2026</t>
        </is>
      </c>
      <c r="B11" s="6" t="n"/>
      <c r="C11" s="6" t="n"/>
      <c r="D11" s="6" t="n"/>
      <c r="E11" s="7" t="n"/>
      <c r="F11" s="8">
        <f>IFERROR(E11/D11*1000,0)</f>
        <v>0</v>
      </c>
    </row>
    <row r="12">
      <c r="A12" s="9" t="inlineStr">
        <is>
          <t>November 2026</t>
        </is>
      </c>
      <c r="B12" s="6" t="n"/>
      <c r="C12" s="6" t="n"/>
      <c r="D12" s="6" t="n"/>
      <c r="E12" s="7" t="n"/>
      <c r="F12" s="10">
        <f>IFERROR(E12/D12*1000,0)</f>
        <v>0</v>
      </c>
    </row>
    <row r="13">
      <c r="A13" s="5" t="inlineStr">
        <is>
          <t>December 2026</t>
        </is>
      </c>
      <c r="B13" s="6" t="n"/>
      <c r="C13" s="6" t="n"/>
      <c r="D13" s="6" t="n"/>
      <c r="E13" s="7" t="n"/>
      <c r="F13" s="8">
        <f>IFERROR(E13/D13*1000,0)</f>
        <v>0</v>
      </c>
    </row>
    <row r="14">
      <c r="A14" s="9" t="inlineStr">
        <is>
          <t>January 2027</t>
        </is>
      </c>
      <c r="B14" s="6" t="n"/>
      <c r="C14" s="6" t="n"/>
      <c r="D14" s="6" t="n"/>
      <c r="E14" s="7" t="n"/>
      <c r="F14" s="10">
        <f>IFERROR(E14/D14*1000,0)</f>
        <v>0</v>
      </c>
    </row>
    <row r="15">
      <c r="A15" s="5" t="inlineStr">
        <is>
          <t>February 2027</t>
        </is>
      </c>
      <c r="B15" s="6" t="n"/>
      <c r="C15" s="6" t="n"/>
      <c r="D15" s="6" t="n"/>
      <c r="E15" s="7" t="n"/>
      <c r="F15" s="8">
        <f>IFERROR(E15/D15*1000,0)</f>
        <v>0</v>
      </c>
    </row>
    <row r="16">
      <c r="A16" s="9" t="inlineStr">
        <is>
          <t>March 2027</t>
        </is>
      </c>
      <c r="B16" s="6" t="n"/>
      <c r="C16" s="6" t="n"/>
      <c r="D16" s="6" t="n"/>
      <c r="E16" s="7" t="n"/>
      <c r="F16" s="10">
        <f>IFERROR(E16/D16*1000,0)</f>
        <v>0</v>
      </c>
    </row>
    <row r="17" ht="10" customHeight="1"/>
    <row r="18" ht="24" customHeight="1">
      <c r="A18" s="11" t="inlineStr">
        <is>
          <t>SUMMARY</t>
        </is>
      </c>
    </row>
    <row r="19" ht="20" customHeight="1">
      <c r="A19" s="12" t="inlineStr">
        <is>
          <t>Total Videos Published</t>
        </is>
      </c>
      <c r="B19" s="13" t="n"/>
      <c r="C19" s="13" t="n"/>
      <c r="D19" s="13" t="n"/>
      <c r="E19" s="13" t="n"/>
      <c r="F19" s="14">
        <f>SUM(B7:B16)</f>
        <v>18</v>
      </c>
    </row>
    <row r="20" ht="20" customHeight="1">
      <c r="A20" s="12" t="inlineStr">
        <is>
          <t>Total Views</t>
        </is>
      </c>
      <c r="B20" s="13" t="n"/>
      <c r="C20" s="13" t="n"/>
      <c r="D20" s="13" t="n"/>
      <c r="E20" s="13" t="n"/>
      <c r="F20" s="14">
        <f>SUM(C7:C16)</f>
        <v>155000</v>
      </c>
    </row>
    <row r="21" ht="20" customHeight="1">
      <c r="A21" s="12" t="inlineStr">
        <is>
          <t>Total Engaged Views</t>
        </is>
      </c>
      <c r="B21" s="13" t="n"/>
      <c r="C21" s="13" t="n"/>
      <c r="D21" s="13" t="n"/>
      <c r="E21" s="13" t="n"/>
      <c r="F21" s="14">
        <f>SUM(D7:D16)</f>
        <v>130000</v>
      </c>
    </row>
    <row r="22" ht="20" customHeight="1">
      <c r="A22" s="15" t="inlineStr">
        <is>
          <t>Total Earnings</t>
        </is>
      </c>
      <c r="B22" s="16" t="n"/>
      <c r="C22" s="16" t="n"/>
      <c r="D22" s="16" t="n"/>
      <c r="E22" s="16" t="n"/>
      <c r="F22" s="17">
        <f>SUM(E7:E16)</f>
        <v>600</v>
      </c>
    </row>
    <row r="23" ht="20" customHeight="1">
      <c r="A23" s="12" t="inlineStr">
        <is>
          <t>Average RPM (Total Earnings ÷ Total Engaged Views × 1000)</t>
        </is>
      </c>
      <c r="B23" s="13" t="n"/>
      <c r="C23" s="13" t="n"/>
      <c r="D23" s="13" t="n"/>
      <c r="E23" s="13" t="n"/>
      <c r="F23" s="18">
        <f>IFERROR(F22/F21*1000,0)</f>
        <v>4.6153846153846154</v>
      </c>
    </row>
    <row r="25" ht="42" customHeight="1">
      <c r="A25" s="19" t="inlineStr">
        <is>
          <t>Note: "Engaged Views" are the monetized playbacks your revenue is actually paid on (YouTube Studio &gt; Analytics &gt; Revenue &gt; Playback-based CPM), which is why RPM and the Average RPM below are calculated against Engaged Views, not total Views. June and July 2026 are pre-filled with sample figures ($200 and $400 earnings) to show how the Summary adds up to $600 — replace them with your real numbers and fill in the remaining months as they happen.</t>
        </is>
      </c>
    </row>
  </sheetData>
  <mergeCells count="10">
    <mergeCell ref="A21:E21"/>
    <mergeCell ref="A2:F2"/>
    <mergeCell ref="A20:E20"/>
    <mergeCell ref="A1:F1"/>
    <mergeCell ref="A19:E19"/>
    <mergeCell ref="A23:E23"/>
    <mergeCell ref="A18:F18"/>
    <mergeCell ref="A4:F4"/>
    <mergeCell ref="A22:E22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2026-07-20T10:53:16Z</dcterms:created>
  <dcterms:modified xsi:type="dcterms:W3CDTF">2026-07-20T10:53:16Z</dcterms:modified>
</cp:coreProperties>
</file>