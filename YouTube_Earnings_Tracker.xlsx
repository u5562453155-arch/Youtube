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arnings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&quot;-&quot;"/>
    <numFmt numFmtId="165" formatCode="$0.00;($0.00);&quot;-&quot;"/>
    <numFmt numFmtId="166" formatCode="$#,##0.00"/>
    <numFmt numFmtId="167" formatCode="$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i val="1"/>
      <color rgb="006B7280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i val="1"/>
      <color rgb="009AA1AB"/>
      <sz val="10"/>
    </font>
    <font>
      <name val="Calibri"/>
      <color rgb="0015417E"/>
      <sz val="10"/>
    </font>
    <font>
      <name val="Calibri"/>
      <i val="1"/>
      <color rgb="009AA1AB"/>
      <sz val="10"/>
    </font>
    <font>
      <name val="Calibri"/>
      <b val="1"/>
      <color rgb="001F2A44"/>
      <sz val="10"/>
    </font>
    <font>
      <name val="Calibri"/>
      <b val="1"/>
      <color rgb="00FFFFFF"/>
      <sz val="13"/>
    </font>
    <font>
      <name val="Calibri"/>
      <b val="1"/>
      <color rgb="002E5A88"/>
      <sz val="10"/>
    </font>
    <font>
      <name val="Calibri"/>
      <b val="1"/>
      <color rgb="005B7C99"/>
      <sz val="10"/>
    </font>
    <font>
      <name val="Calibri"/>
      <b val="1"/>
      <color rgb="001E5B32"/>
      <sz val="12"/>
    </font>
    <font>
      <name val="Calibri"/>
      <b val="1"/>
      <color rgb="001E5B32"/>
      <sz val="14"/>
    </font>
  </fonts>
  <fills count="12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A88"/>
      </patternFill>
    </fill>
    <fill>
      <patternFill patternType="solid">
        <fgColor rgb="005B7C99"/>
      </patternFill>
    </fill>
    <fill>
      <patternFill patternType="solid">
        <fgColor rgb="00E7E9EC"/>
      </patternFill>
    </fill>
    <fill>
      <patternFill patternType="solid">
        <fgColor rgb="00EAF2FB"/>
      </patternFill>
    </fill>
    <fill>
      <patternFill patternType="solid">
        <fgColor rgb="00FFFFFF"/>
      </patternFill>
    </fill>
    <fill>
      <patternFill patternType="solid">
        <fgColor rgb="00F4F6F8"/>
      </patternFill>
    </fill>
    <fill>
      <patternFill patternType="solid">
        <fgColor rgb="00DCE4EC"/>
      </patternFill>
    </fill>
    <fill>
      <patternFill patternType="solid">
        <fgColor rgb="00EDEFF2"/>
      </patternFill>
    </fill>
    <fill>
      <patternFill patternType="solid">
        <fgColor rgb="00E3F0E6"/>
      </patternFill>
    </fill>
  </fills>
  <borders count="3">
    <border>
      <left/>
      <right/>
      <top/>
      <bottom/>
      <diagonal/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  <border>
      <left style="medium">
        <color rgb="00AAB6C2"/>
      </left>
      <right style="thin">
        <color rgb="00D9DEE4"/>
      </right>
      <top style="thin">
        <color rgb="00D9DEE4"/>
      </top>
      <bottom style="thin">
        <color rgb="00D9DEE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5" borderId="1" applyAlignment="1" pivotButton="0" quotePrefix="0" xfId="0">
      <alignment horizontal="left" vertical="center" indent="1"/>
    </xf>
    <xf numFmtId="3" fontId="7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indent="1"/>
    </xf>
    <xf numFmtId="164" fontId="7" fillId="6" borderId="1" applyAlignment="1" pivotButton="0" quotePrefix="0" xfId="0">
      <alignment horizontal="center" vertical="center"/>
    </xf>
    <xf numFmtId="165" fontId="9" fillId="7" borderId="1" applyAlignment="1" pivotButton="0" quotePrefix="0" xfId="0">
      <alignment horizontal="center" vertical="center"/>
    </xf>
    <xf numFmtId="164" fontId="9" fillId="7" borderId="2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indent="1"/>
    </xf>
    <xf numFmtId="165" fontId="9" fillId="8" borderId="1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9" fillId="10" borderId="1" applyAlignment="1" pivotButton="0" quotePrefix="0" xfId="0">
      <alignment horizontal="right" vertical="center" indent="1"/>
    </xf>
    <xf numFmtId="0" fontId="0" fillId="10" borderId="1" pivotButton="0" quotePrefix="0" xfId="0"/>
    <xf numFmtId="3" fontId="9" fillId="7" borderId="2" applyAlignment="1" pivotButton="0" quotePrefix="0" xfId="0">
      <alignment horizontal="center" vertical="center"/>
    </xf>
    <xf numFmtId="166" fontId="9" fillId="7" borderId="2" applyAlignment="1" pivotButton="0" quotePrefix="0" xfId="0">
      <alignment horizontal="center" vertical="center"/>
    </xf>
    <xf numFmtId="167" fontId="9" fillId="7" borderId="2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indent="1"/>
    </xf>
    <xf numFmtId="0" fontId="13" fillId="11" borderId="1" applyAlignment="1" pivotButton="0" quotePrefix="0" xfId="0">
      <alignment horizontal="right" vertical="center" indent="1"/>
    </xf>
    <xf numFmtId="0" fontId="0" fillId="11" borderId="1" pivotButton="0" quotePrefix="0" xfId="0"/>
    <xf numFmtId="166" fontId="14" fillId="11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2" customWidth="1" min="3" max="3"/>
    <col width="14" customWidth="1" min="4" max="4"/>
    <col width="12" customWidth="1" min="5" max="5"/>
    <col width="10" customWidth="1" min="6" max="6"/>
    <col width="15" customWidth="1" min="7" max="7"/>
    <col width="12" customWidth="1" min="8" max="8"/>
    <col width="12" customWidth="1" min="9" max="9"/>
    <col width="10" customWidth="1" min="10" max="10"/>
    <col width="16" customWidth="1" min="11" max="11"/>
  </cols>
  <sheetData>
    <row r="1" ht="36" customHeight="1">
      <c r="A1" s="1" t="inlineStr">
        <is>
          <t>YouTube Earnings Tracker</t>
        </is>
      </c>
    </row>
    <row r="2" ht="20" customHeight="1">
      <c r="A2" s="2" t="inlineStr">
        <is>
          <t>Reporting Period: February 2026 – March 2027</t>
        </is>
      </c>
    </row>
    <row r="3" ht="8" customHeight="1"/>
    <row r="4" ht="16" customHeight="1">
      <c r="A4" s="3" t="inlineStr">
        <is>
          <t>Legend:  Pale blue cells = enter your monthly numbers   |   Blue text = your input   |   Navy text = auto-calculated formula   |   Gray rows = pre-monetization (no earnings/RPM)   |   Shorts RPM uses Engaged Views, Long-form RPM uses total Long Views</t>
        </is>
      </c>
    </row>
    <row r="5" ht="6" customHeight="1"/>
    <row r="6" ht="20" customHeight="1">
      <c r="A6" s="4" t="inlineStr">
        <is>
          <t>Month</t>
        </is>
      </c>
      <c r="B6" s="5" t="inlineStr">
        <is>
          <t>SHORTS</t>
        </is>
      </c>
      <c r="C6" s="6" t="n"/>
      <c r="D6" s="6" t="n"/>
      <c r="E6" s="6" t="n"/>
      <c r="F6" s="6" t="n"/>
      <c r="G6" s="7" t="inlineStr">
        <is>
          <t>LONG-FORM VIDEOS</t>
        </is>
      </c>
      <c r="H6" s="6" t="n"/>
      <c r="I6" s="6" t="n"/>
      <c r="J6" s="6" t="n"/>
      <c r="K6" s="8" t="inlineStr">
        <is>
          <t>Total Earnings ($)</t>
        </is>
      </c>
    </row>
    <row r="7" ht="30" customHeight="1">
      <c r="A7" s="6" t="n"/>
      <c r="B7" s="9" t="inlineStr">
        <is>
          <t>Shorts Published</t>
        </is>
      </c>
      <c r="C7" s="9" t="inlineStr">
        <is>
          <t>Views</t>
        </is>
      </c>
      <c r="D7" s="9" t="inlineStr">
        <is>
          <t>Engaged Views</t>
        </is>
      </c>
      <c r="E7" s="9" t="inlineStr">
        <is>
          <t>Earnings ($)</t>
        </is>
      </c>
      <c r="F7" s="9" t="inlineStr">
        <is>
          <t>RPM ($)</t>
        </is>
      </c>
      <c r="G7" s="10" t="inlineStr">
        <is>
          <t>Videos Published</t>
        </is>
      </c>
      <c r="H7" s="11" t="inlineStr">
        <is>
          <t>Long Views</t>
        </is>
      </c>
      <c r="I7" s="11" t="inlineStr">
        <is>
          <t>Earnings ($)</t>
        </is>
      </c>
      <c r="J7" s="11" t="inlineStr">
        <is>
          <t>RPM ($)</t>
        </is>
      </c>
      <c r="K7" s="12" t="n"/>
    </row>
    <row r="8">
      <c r="A8" s="13" t="inlineStr">
        <is>
          <t>February 2026  (Pre-Monetization)</t>
        </is>
      </c>
      <c r="B8" s="14" t="n">
        <v>20</v>
      </c>
      <c r="C8" s="14" t="n">
        <v>3400000</v>
      </c>
      <c r="D8" s="15" t="inlineStr">
        <is>
          <t>N/A</t>
        </is>
      </c>
      <c r="E8" s="15" t="inlineStr">
        <is>
          <t>N/A</t>
        </is>
      </c>
      <c r="F8" s="15" t="inlineStr">
        <is>
          <t>N/A</t>
        </is>
      </c>
      <c r="G8" s="16" t="n">
        <v>1</v>
      </c>
      <c r="H8" s="14" t="n">
        <v>2200</v>
      </c>
      <c r="I8" s="15" t="inlineStr">
        <is>
          <t>N/A</t>
        </is>
      </c>
      <c r="J8" s="15" t="inlineStr">
        <is>
          <t>N/A</t>
        </is>
      </c>
      <c r="K8" s="17" t="inlineStr">
        <is>
          <t>N/A</t>
        </is>
      </c>
    </row>
    <row r="9">
      <c r="A9" s="13" t="inlineStr">
        <is>
          <t>March 2026  (Pre-Monetization)</t>
        </is>
      </c>
      <c r="B9" s="14" t="n">
        <v>26</v>
      </c>
      <c r="C9" s="14" t="n">
        <v>5700000</v>
      </c>
      <c r="D9" s="15" t="inlineStr">
        <is>
          <t>N/A</t>
        </is>
      </c>
      <c r="E9" s="15" t="inlineStr">
        <is>
          <t>N/A</t>
        </is>
      </c>
      <c r="F9" s="15" t="inlineStr">
        <is>
          <t>N/A</t>
        </is>
      </c>
      <c r="G9" s="16" t="n">
        <v>1</v>
      </c>
      <c r="H9" s="14" t="n">
        <v>40200</v>
      </c>
      <c r="I9" s="15" t="inlineStr">
        <is>
          <t>N/A</t>
        </is>
      </c>
      <c r="J9" s="15" t="inlineStr">
        <is>
          <t>N/A</t>
        </is>
      </c>
      <c r="K9" s="17" t="inlineStr">
        <is>
          <t>N/A</t>
        </is>
      </c>
    </row>
    <row r="10">
      <c r="A10" s="13" t="inlineStr">
        <is>
          <t>April 2026  (Pre-Monetization)</t>
        </is>
      </c>
      <c r="B10" s="14" t="n">
        <v>14</v>
      </c>
      <c r="C10" s="14" t="n">
        <v>3100000</v>
      </c>
      <c r="D10" s="15" t="inlineStr">
        <is>
          <t>N/A</t>
        </is>
      </c>
      <c r="E10" s="15" t="inlineStr">
        <is>
          <t>N/A</t>
        </is>
      </c>
      <c r="F10" s="15" t="inlineStr">
        <is>
          <t>N/A</t>
        </is>
      </c>
      <c r="G10" s="16" t="n">
        <v>2</v>
      </c>
      <c r="H10" s="14" t="n">
        <v>35200</v>
      </c>
      <c r="I10" s="15" t="inlineStr">
        <is>
          <t>N/A</t>
        </is>
      </c>
      <c r="J10" s="15" t="inlineStr">
        <is>
          <t>N/A</t>
        </is>
      </c>
      <c r="K10" s="17" t="inlineStr">
        <is>
          <t>N/A</t>
        </is>
      </c>
    </row>
    <row r="11">
      <c r="A11" s="18" t="inlineStr">
        <is>
          <t>May 2026</t>
        </is>
      </c>
      <c r="B11" s="14" t="n">
        <v>9</v>
      </c>
      <c r="C11" s="14" t="n">
        <v>1000000</v>
      </c>
      <c r="D11" s="14" t="n">
        <v>43300</v>
      </c>
      <c r="E11" s="19" t="n">
        <v>10.85</v>
      </c>
      <c r="F11" s="20">
        <f>IFERROR(E11/D11*1000,0)</f>
        <v>0.2505773672055427</v>
      </c>
      <c r="G11" s="16" t="n">
        <v>2</v>
      </c>
      <c r="H11" s="14" t="n">
        <v>6400</v>
      </c>
      <c r="I11" s="19" t="n">
        <v>6.42</v>
      </c>
      <c r="J11" s="20">
        <f>IFERROR(I11/H11*1000,0)</f>
        <v>1.0031249999999998</v>
      </c>
      <c r="K11" s="21">
        <f>E11+I11</f>
        <v>17.27</v>
      </c>
    </row>
    <row r="12">
      <c r="A12" s="22" t="inlineStr">
        <is>
          <t>June 2026</t>
        </is>
      </c>
      <c r="B12" s="14" t="n">
        <v>15</v>
      </c>
      <c r="C12" s="14" t="n">
        <v>1100000</v>
      </c>
      <c r="D12" s="14" t="n">
        <v>606700</v>
      </c>
      <c r="E12" s="19" t="n">
        <v>146.81</v>
      </c>
      <c r="F12" s="23">
        <f>IFERROR(E12/D12*1000,0)</f>
        <v>0.24198120982363605</v>
      </c>
      <c r="G12" s="16" t="n">
        <v>1</v>
      </c>
      <c r="H12" s="14" t="n">
        <v>31600</v>
      </c>
      <c r="I12" s="19" t="n">
        <v>59.84</v>
      </c>
      <c r="J12" s="23">
        <f>IFERROR(I12/H12*1000,0)</f>
        <v>1.8936708860759495</v>
      </c>
      <c r="K12" s="24">
        <f>E12+I12</f>
        <v>206.65</v>
      </c>
    </row>
    <row r="13">
      <c r="A13" s="18" t="inlineStr">
        <is>
          <t>July 2026</t>
        </is>
      </c>
      <c r="B13" s="14" t="n"/>
      <c r="C13" s="14" t="n"/>
      <c r="D13" s="14" t="n"/>
      <c r="E13" s="19" t="n"/>
      <c r="F13" s="20">
        <f>IFERROR(E13/D13*1000,0)</f>
        <v>0</v>
      </c>
      <c r="G13" s="16" t="n"/>
      <c r="H13" s="14" t="n"/>
      <c r="I13" s="19" t="n"/>
      <c r="J13" s="20">
        <f>IFERROR(I13/H13*1000,0)</f>
        <v>0</v>
      </c>
      <c r="K13" s="21">
        <f>E13+I13</f>
        <v>0</v>
      </c>
    </row>
    <row r="14">
      <c r="A14" s="22" t="inlineStr">
        <is>
          <t>August 2026</t>
        </is>
      </c>
      <c r="B14" s="14" t="n"/>
      <c r="C14" s="14" t="n"/>
      <c r="D14" s="14" t="n"/>
      <c r="E14" s="19" t="n"/>
      <c r="F14" s="23">
        <f>IFERROR(E14/D14*1000,0)</f>
        <v>0</v>
      </c>
      <c r="G14" s="16" t="n"/>
      <c r="H14" s="14" t="n"/>
      <c r="I14" s="19" t="n"/>
      <c r="J14" s="23">
        <f>IFERROR(I14/H14*1000,0)</f>
        <v>0</v>
      </c>
      <c r="K14" s="24">
        <f>E14+I14</f>
        <v>0</v>
      </c>
    </row>
    <row r="15">
      <c r="A15" s="18" t="inlineStr">
        <is>
          <t>September 2026</t>
        </is>
      </c>
      <c r="B15" s="14" t="n"/>
      <c r="C15" s="14" t="n"/>
      <c r="D15" s="14" t="n"/>
      <c r="E15" s="19" t="n"/>
      <c r="F15" s="20">
        <f>IFERROR(E15/D15*1000,0)</f>
        <v>0</v>
      </c>
      <c r="G15" s="16" t="n"/>
      <c r="H15" s="14" t="n"/>
      <c r="I15" s="19" t="n"/>
      <c r="J15" s="20">
        <f>IFERROR(I15/H15*1000,0)</f>
        <v>0</v>
      </c>
      <c r="K15" s="21">
        <f>E15+I15</f>
        <v>0</v>
      </c>
    </row>
    <row r="16">
      <c r="A16" s="22" t="inlineStr">
        <is>
          <t>October 2026</t>
        </is>
      </c>
      <c r="B16" s="14" t="n"/>
      <c r="C16" s="14" t="n"/>
      <c r="D16" s="14" t="n"/>
      <c r="E16" s="19" t="n"/>
      <c r="F16" s="23">
        <f>IFERROR(E16/D16*1000,0)</f>
        <v>0</v>
      </c>
      <c r="G16" s="16" t="n"/>
      <c r="H16" s="14" t="n"/>
      <c r="I16" s="19" t="n"/>
      <c r="J16" s="23">
        <f>IFERROR(I16/H16*1000,0)</f>
        <v>0</v>
      </c>
      <c r="K16" s="24">
        <f>E16+I16</f>
        <v>0</v>
      </c>
    </row>
    <row r="17">
      <c r="A17" s="18" t="inlineStr">
        <is>
          <t>November 2026</t>
        </is>
      </c>
      <c r="B17" s="14" t="n"/>
      <c r="C17" s="14" t="n"/>
      <c r="D17" s="14" t="n"/>
      <c r="E17" s="19" t="n"/>
      <c r="F17" s="20">
        <f>IFERROR(E17/D17*1000,0)</f>
        <v>0</v>
      </c>
      <c r="G17" s="16" t="n"/>
      <c r="H17" s="14" t="n"/>
      <c r="I17" s="19" t="n"/>
      <c r="J17" s="20">
        <f>IFERROR(I17/H17*1000,0)</f>
        <v>0</v>
      </c>
      <c r="K17" s="21">
        <f>E17+I17</f>
        <v>0</v>
      </c>
    </row>
    <row r="18">
      <c r="A18" s="22" t="inlineStr">
        <is>
          <t>December 2026</t>
        </is>
      </c>
      <c r="B18" s="14" t="n"/>
      <c r="C18" s="14" t="n"/>
      <c r="D18" s="14" t="n"/>
      <c r="E18" s="19" t="n"/>
      <c r="F18" s="23">
        <f>IFERROR(E18/D18*1000,0)</f>
        <v>0</v>
      </c>
      <c r="G18" s="16" t="n"/>
      <c r="H18" s="14" t="n"/>
      <c r="I18" s="19" t="n"/>
      <c r="J18" s="23">
        <f>IFERROR(I18/H18*1000,0)</f>
        <v>0</v>
      </c>
      <c r="K18" s="24">
        <f>E18+I18</f>
        <v>0</v>
      </c>
    </row>
    <row r="19">
      <c r="A19" s="18" t="inlineStr">
        <is>
          <t>January 2027</t>
        </is>
      </c>
      <c r="B19" s="14" t="n"/>
      <c r="C19" s="14" t="n"/>
      <c r="D19" s="14" t="n"/>
      <c r="E19" s="19" t="n"/>
      <c r="F19" s="20">
        <f>IFERROR(E19/D19*1000,0)</f>
        <v>0</v>
      </c>
      <c r="G19" s="16" t="n"/>
      <c r="H19" s="14" t="n"/>
      <c r="I19" s="19" t="n"/>
      <c r="J19" s="20">
        <f>IFERROR(I19/H19*1000,0)</f>
        <v>0</v>
      </c>
      <c r="K19" s="21">
        <f>E19+I19</f>
        <v>0</v>
      </c>
    </row>
    <row r="20">
      <c r="A20" s="22" t="inlineStr">
        <is>
          <t>February 2027</t>
        </is>
      </c>
      <c r="B20" s="14" t="n"/>
      <c r="C20" s="14" t="n"/>
      <c r="D20" s="14" t="n"/>
      <c r="E20" s="19" t="n"/>
      <c r="F20" s="23">
        <f>IFERROR(E20/D20*1000,0)</f>
        <v>0</v>
      </c>
      <c r="G20" s="16" t="n"/>
      <c r="H20" s="14" t="n"/>
      <c r="I20" s="19" t="n"/>
      <c r="J20" s="23">
        <f>IFERROR(I20/H20*1000,0)</f>
        <v>0</v>
      </c>
      <c r="K20" s="24">
        <f>E20+I20</f>
        <v>0</v>
      </c>
    </row>
    <row r="21">
      <c r="A21" s="18" t="inlineStr">
        <is>
          <t>March 2027</t>
        </is>
      </c>
      <c r="B21" s="14" t="n"/>
      <c r="C21" s="14" t="n"/>
      <c r="D21" s="14" t="n"/>
      <c r="E21" s="19" t="n"/>
      <c r="F21" s="20">
        <f>IFERROR(E21/D21*1000,0)</f>
        <v>0</v>
      </c>
      <c r="G21" s="16" t="n"/>
      <c r="H21" s="14" t="n"/>
      <c r="I21" s="19" t="n"/>
      <c r="J21" s="20">
        <f>IFERROR(I21/H21*1000,0)</f>
        <v>0</v>
      </c>
      <c r="K21" s="21">
        <f>E21+I21</f>
        <v>0</v>
      </c>
    </row>
    <row r="22" ht="10" customHeight="1"/>
    <row r="23" ht="24" customHeight="1">
      <c r="A23" s="25" t="inlineStr">
        <is>
          <t>SUMMARY</t>
        </is>
      </c>
    </row>
    <row r="24" ht="18" customHeight="1">
      <c r="A24" s="26" t="inlineStr">
        <is>
          <t>Shorts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</row>
    <row r="25" ht="18" customHeight="1">
      <c r="A25" s="28" t="inlineStr">
        <is>
          <t>Total Shorts Published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30">
        <f>SUM(B8:B21)</f>
        <v>84</v>
      </c>
    </row>
    <row r="26" ht="18" customHeight="1">
      <c r="A26" s="28" t="inlineStr">
        <is>
          <t>Total Views (Shorts)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30">
        <f>SUM(C8:C21)</f>
        <v>14300000</v>
      </c>
    </row>
    <row r="27" ht="18" customHeight="1">
      <c r="A27" s="28" t="inlineStr">
        <is>
          <t>Total Engaged Views (Shorts, monetized months only)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30">
        <f>SUM(D11:D21)</f>
        <v>650000</v>
      </c>
    </row>
    <row r="28" ht="18" customHeight="1">
      <c r="A28" s="28" t="inlineStr">
        <is>
          <t>Total Earnings (Shorts)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31">
        <f>SUM(E11:E21)</f>
        <v>157.66</v>
      </c>
    </row>
    <row r="29" ht="18" customHeight="1">
      <c r="A29" s="28" t="inlineStr">
        <is>
          <t>Average RPM – Shorts (Earnings ÷ Engaged Views × 1000)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32">
        <f>IFERROR(K28/K27*1000,0)</f>
        <v>0.24255384615384618</v>
      </c>
    </row>
    <row r="30" ht="18" customHeight="1">
      <c r="A30" s="33" t="inlineStr">
        <is>
          <t>Long-Form Videos</t>
        </is>
      </c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</row>
    <row r="31" ht="18" customHeight="1">
      <c r="A31" s="28" t="inlineStr">
        <is>
          <t>Total Videos Published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30">
        <f>SUM(G8:G21)</f>
        <v>7</v>
      </c>
    </row>
    <row r="32" ht="18" customHeight="1">
      <c r="A32" s="28" t="inlineStr">
        <is>
          <t>Total Long Views (monetized months only)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30">
        <f>SUM(H11:H21)</f>
        <v>38000</v>
      </c>
    </row>
    <row r="33" ht="18" customHeight="1">
      <c r="A33" s="28" t="inlineStr">
        <is>
          <t>Total Earnings (Long-Form)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31">
        <f>SUM(I11:I21)</f>
        <v>66.26</v>
      </c>
    </row>
    <row r="34" ht="18" customHeight="1">
      <c r="A34" s="28" t="inlineStr">
        <is>
          <t>Average RPM – Long-Form (Earnings ÷ Long Views × 1000)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32">
        <f>IFERROR(K33/K32*1000,0)</f>
        <v>1.743684210526316</v>
      </c>
    </row>
    <row r="36" ht="26" customHeight="1">
      <c r="A36" s="34" t="inlineStr">
        <is>
          <t>TOTAL EARNINGS (Shorts + Long-Form, All Months)</t>
        </is>
      </c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6">
        <f>SUM(K8:K21)</f>
        <v>223.92000000000002</v>
      </c>
    </row>
    <row r="38" ht="56" customHeight="1">
      <c r="A38" s="37" t="inlineStr">
        <is>
          <t>Note: February–April 2026 are shaded gray because the channel wasn't monetized yet — Videos/Shorts Published and Views can still be logged, but Engaged Views, Earnings and RPM are marked N/A and excluded from every earnings/RPM total below. Monetized tracking begins May 2026, filled in with your real reported numbers (Shorts $10.85 + Long-Form $6.42 = $17.27), continuing with June 2026 (Shorts $146.81 + Long-Form $59.84 = $206.65). Shorts RPM is calculated on Engaged Views; Long-Form RPM is calculated on total Long Views, since every long-form view is monetized. Enter your real figures for the remaining months as they happen.</t>
        </is>
      </c>
    </row>
  </sheetData>
  <mergeCells count="21">
    <mergeCell ref="A32:J32"/>
    <mergeCell ref="A30:K30"/>
    <mergeCell ref="A24:K24"/>
    <mergeCell ref="A29:J29"/>
    <mergeCell ref="A6:A7"/>
    <mergeCell ref="A28:J28"/>
    <mergeCell ref="A1:K1"/>
    <mergeCell ref="A31:J31"/>
    <mergeCell ref="A34:J34"/>
    <mergeCell ref="A36:J36"/>
    <mergeCell ref="A2:K2"/>
    <mergeCell ref="A25:J25"/>
    <mergeCell ref="A23:K23"/>
    <mergeCell ref="G6:J6"/>
    <mergeCell ref="A4:K4"/>
    <mergeCell ref="B6:F6"/>
    <mergeCell ref="A27:J27"/>
    <mergeCell ref="A38:K38"/>
    <mergeCell ref="K6:K7"/>
    <mergeCell ref="A26:J26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2026-07-20T13:03:15Z</dcterms:created>
  <dcterms:modified xsi:type="dcterms:W3CDTF">2026-07-20T13:03:15Z</dcterms:modified>
</cp:coreProperties>
</file>